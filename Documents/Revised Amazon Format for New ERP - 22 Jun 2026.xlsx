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PNEXT\UVTech_TMS_2026\Documents\"/>
    </mc:Choice>
  </mc:AlternateContent>
  <xr:revisionPtr revIDLastSave="0" documentId="13_ncr:1_{71D39EC2-50FE-4170-987F-AE584E0AD052}" xr6:coauthVersionLast="47" xr6:coauthVersionMax="47" xr10:uidLastSave="{00000000-0000-0000-0000-000000000000}"/>
  <bookViews>
    <workbookView xWindow="-120" yWindow="-120" windowWidth="20730" windowHeight="11040" activeTab="1" xr2:uid="{FCC98546-BC74-48AE-86D3-C55B9277EFC7}"/>
  </bookViews>
  <sheets>
    <sheet name="Sheet1" sheetId="1" r:id="rId1"/>
    <sheet name="Screen" sheetId="4" r:id="rId2"/>
    <sheet name="Columns to be Used" sheetId="2" r:id="rId3"/>
    <sheet name="Columns to be Froze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0" i="4" l="1"/>
  <c r="X30" i="4"/>
  <c r="W30" i="4"/>
  <c r="AH28" i="4"/>
  <c r="BS6" i="1"/>
</calcChain>
</file>

<file path=xl/sharedStrings.xml><?xml version="1.0" encoding="utf-8"?>
<sst xmlns="http://schemas.openxmlformats.org/spreadsheetml/2006/main" count="405" uniqueCount="126">
  <si>
    <t>Company Name</t>
  </si>
  <si>
    <t xml:space="preserve">Customer </t>
  </si>
  <si>
    <t>Trip Type</t>
  </si>
  <si>
    <t>Branch</t>
  </si>
  <si>
    <t>Trip Coordinator</t>
  </si>
  <si>
    <t>Trip Date</t>
  </si>
  <si>
    <t>Tour ID</t>
  </si>
  <si>
    <t>VR ID</t>
  </si>
  <si>
    <t>Status</t>
  </si>
  <si>
    <t>Facility Sequence</t>
  </si>
  <si>
    <t>CPT</t>
  </si>
  <si>
    <t>Is CPT Truck</t>
  </si>
  <si>
    <t>CR_ID</t>
  </si>
  <si>
    <t>Shipper Accounts</t>
  </si>
  <si>
    <t>Equipment Type</t>
  </si>
  <si>
    <t>Estimated Cost</t>
  </si>
  <si>
    <t>Tender Status</t>
  </si>
  <si>
    <t>Driver</t>
  </si>
  <si>
    <t>Vehicle ID</t>
  </si>
  <si>
    <t>VR Cancellation Date Time (UTC)</t>
  </si>
  <si>
    <t>Transit Operator Type</t>
  </si>
  <si>
    <t>Spot Work</t>
  </si>
  <si>
    <t>Customer Freight</t>
  </si>
  <si>
    <t>RLB Fuel Surcharge1</t>
  </si>
  <si>
    <t>RLB Cancellation Charge1</t>
  </si>
  <si>
    <t>RLB Detention Charge1</t>
  </si>
  <si>
    <t>RLB OT Cost1</t>
  </si>
  <si>
    <t>RLB Extra Distance Cost1</t>
  </si>
  <si>
    <t>RLB Toll-Parking Charges1</t>
  </si>
  <si>
    <t>Total Trip Amount</t>
  </si>
  <si>
    <t>Vendor</t>
  </si>
  <si>
    <t>Vendor Freight</t>
  </si>
  <si>
    <t>Vendor Freight (Extra)</t>
  </si>
  <si>
    <t>Total Vendor Freight</t>
  </si>
  <si>
    <t>Remarks</t>
  </si>
  <si>
    <t>Duplicate Trips</t>
  </si>
  <si>
    <t>Duplicate Record No</t>
  </si>
  <si>
    <t>Manual Trip</t>
  </si>
  <si>
    <t>Tour ID2</t>
  </si>
  <si>
    <t>Load ID</t>
  </si>
  <si>
    <t>Vehicle No.</t>
  </si>
  <si>
    <t>Start Date</t>
  </si>
  <si>
    <t>End Date</t>
  </si>
  <si>
    <t>Lane</t>
  </si>
  <si>
    <t>City</t>
  </si>
  <si>
    <t>Operator Type</t>
  </si>
  <si>
    <t>Total Distance</t>
  </si>
  <si>
    <t>Contract Type</t>
  </si>
  <si>
    <t>Rate Type</t>
  </si>
  <si>
    <t>Item Type</t>
  </si>
  <si>
    <t>Work Type</t>
  </si>
  <si>
    <t>Base Rate</t>
  </si>
  <si>
    <t>Fuel Surcharge</t>
  </si>
  <si>
    <t>Cancellation Charge</t>
  </si>
  <si>
    <t>Detention Charge</t>
  </si>
  <si>
    <t>OT Cost</t>
  </si>
  <si>
    <t>Extra distance Cost</t>
  </si>
  <si>
    <t>Toll-Parking Charges</t>
  </si>
  <si>
    <t>Tax Percent</t>
  </si>
  <si>
    <t>Gross Pay Amt (Excl. Tax)</t>
  </si>
  <si>
    <t>Gross Tax Amt</t>
  </si>
  <si>
    <t>Gross Pay Amt</t>
  </si>
  <si>
    <t>Comments</t>
  </si>
  <si>
    <t>Extra Hours</t>
  </si>
  <si>
    <t>Extra Km</t>
  </si>
  <si>
    <t>Remarks3</t>
  </si>
  <si>
    <t>Bill No</t>
  </si>
  <si>
    <t>Bill Date</t>
  </si>
  <si>
    <t>Computed Total Freight</t>
  </si>
  <si>
    <t>Computed Billed Amount</t>
  </si>
  <si>
    <t>Trip Status</t>
  </si>
  <si>
    <t>AMAZON SELLER SERVICES</t>
  </si>
  <si>
    <t>SCHEDULED TRIP</t>
  </si>
  <si>
    <t>BAVLA</t>
  </si>
  <si>
    <t>SHOBHIT JAT</t>
  </si>
  <si>
    <t>COMPLETED</t>
  </si>
  <si>
    <t>14’ Truck</t>
  </si>
  <si>
    <t>35.00 INR</t>
  </si>
  <si>
    <t>APPROVED</t>
  </si>
  <si>
    <t xml:space="preserve"> </t>
  </si>
  <si>
    <t>SINGLE_DRIVER</t>
  </si>
  <si>
    <t>No</t>
  </si>
  <si>
    <t>Ahmedabad IN</t>
  </si>
  <si>
    <t>Solo</t>
  </si>
  <si>
    <t>Fixed And Variable</t>
  </si>
  <si>
    <t>PER_MILE</t>
  </si>
  <si>
    <t>Load - Completed</t>
  </si>
  <si>
    <t>TENDERED</t>
  </si>
  <si>
    <t>SADASHIV/FCM/024</t>
  </si>
  <si>
    <t>17-05-2026</t>
  </si>
  <si>
    <t xml:space="preserve">  </t>
  </si>
  <si>
    <t>PER_TRIP</t>
  </si>
  <si>
    <t>Tour - Completed</t>
  </si>
  <si>
    <t>HOTSEAT1</t>
  </si>
  <si>
    <t>FleetManagementEquipmentRepositioning</t>
  </si>
  <si>
    <t>GJ01MT4964</t>
  </si>
  <si>
    <t>T-19FAMD046</t>
  </si>
  <si>
    <t>1144W6V1T</t>
  </si>
  <si>
    <t>GUJX-&gt;GNNT</t>
  </si>
  <si>
    <t>AMD04--Leg-1</t>
  </si>
  <si>
    <t>OutboundAMZL</t>
  </si>
  <si>
    <t>Sadhu vishu</t>
  </si>
  <si>
    <t>05/01/2026 01:00:00 IST</t>
  </si>
  <si>
    <t>05/01/2026 05:30:00 IST</t>
  </si>
  <si>
    <t xml:space="preserve">40.84 KM </t>
  </si>
  <si>
    <t>1161FBMX6</t>
  </si>
  <si>
    <t>GNNT-&gt;GUJX</t>
  </si>
  <si>
    <t>AMD04--Leg-1.1</t>
  </si>
  <si>
    <t>05/01/2026 11:37:00 IST</t>
  </si>
  <si>
    <t>05/01/2026 12:15:00 IST</t>
  </si>
  <si>
    <t xml:space="preserve">39.24 KM </t>
  </si>
  <si>
    <t>1131D8WK9</t>
  </si>
  <si>
    <t>AMD04--Leg-2</t>
  </si>
  <si>
    <t>05/01/2026 16:45:00 IST</t>
  </si>
  <si>
    <t>111GS1CT7</t>
  </si>
  <si>
    <t>AMD04--Leg-2.1</t>
  </si>
  <si>
    <t>Ajay bhai</t>
  </si>
  <si>
    <t>05/01/2026 17:00:00 IST</t>
  </si>
  <si>
    <t>05/01/2026 17:38:00 IST</t>
  </si>
  <si>
    <t>05/01/2026 18:09:00 IST</t>
  </si>
  <si>
    <t>Freight Difference</t>
  </si>
  <si>
    <t>Sadashiv Logistics Pvt Ltd</t>
  </si>
  <si>
    <t>Close</t>
  </si>
  <si>
    <t>Driver (Market)</t>
  </si>
  <si>
    <t>Vehicle ID (Market)</t>
  </si>
  <si>
    <t>Add this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</si>
</sst>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2" fontId="0" fillId="0" borderId="1" xfId="0" applyNumberFormat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164" fontId="1" fillId="2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14" fontId="1" fillId="6" borderId="1" xfId="0" applyNumberFormat="1" applyFont="1" applyFill="1" applyBorder="1"/>
    <xf numFmtId="165" fontId="1" fillId="6" borderId="1" xfId="0" applyNumberFormat="1" applyFont="1" applyFill="1" applyBorder="1"/>
    <xf numFmtId="166" fontId="1" fillId="6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164" fontId="2" fillId="0" borderId="1" xfId="0" applyNumberFormat="1" applyFont="1" applyFill="1" applyBorder="1"/>
    <xf numFmtId="0" fontId="2" fillId="7" borderId="1" xfId="0" applyFont="1" applyFill="1" applyBorder="1"/>
    <xf numFmtId="165" fontId="3" fillId="0" borderId="0" xfId="0" applyNumberFormat="1" applyFont="1"/>
    <xf numFmtId="0" fontId="1" fillId="7" borderId="1" xfId="0" applyFont="1" applyFill="1" applyBorder="1"/>
    <xf numFmtId="166" fontId="1" fillId="7" borderId="1" xfId="0" applyNumberFormat="1" applyFont="1" applyFill="1" applyBorder="1"/>
    <xf numFmtId="165" fontId="1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0136-C95F-4EDC-B7F6-CF8270C89F91}">
  <dimension ref="A1:BT6"/>
  <sheetViews>
    <sheetView topLeftCell="BI1" workbookViewId="0">
      <selection activeCell="AN1" sqref="AN1:BT6"/>
    </sheetView>
  </sheetViews>
  <sheetFormatPr defaultColWidth="9.28515625" defaultRowHeight="15" x14ac:dyDescent="0.25"/>
  <cols>
    <col min="1" max="1" width="23.5703125" bestFit="1" customWidth="1"/>
    <col min="2" max="2" width="23.85546875" bestFit="1" customWidth="1"/>
    <col min="3" max="3" width="15.5703125" bestFit="1" customWidth="1"/>
    <col min="4" max="4" width="7.140625" bestFit="1" customWidth="1"/>
    <col min="5" max="5" width="15.85546875" bestFit="1" customWidth="1"/>
    <col min="6" max="6" width="10.42578125" bestFit="1" customWidth="1"/>
    <col min="7" max="7" width="12.7109375" bestFit="1" customWidth="1"/>
    <col min="8" max="8" width="11.140625" bestFit="1" customWidth="1"/>
    <col min="9" max="9" width="11.42578125" bestFit="1" customWidth="1"/>
    <col min="10" max="10" width="17" bestFit="1" customWidth="1"/>
    <col min="11" max="11" width="15.5703125" bestFit="1" customWidth="1"/>
    <col min="12" max="12" width="11.85546875" bestFit="1" customWidth="1"/>
    <col min="13" max="13" width="14.7109375" bestFit="1" customWidth="1"/>
    <col min="14" max="14" width="39.140625" bestFit="1" customWidth="1"/>
    <col min="15" max="15" width="15.7109375" bestFit="1" customWidth="1"/>
    <col min="16" max="16" width="15" bestFit="1" customWidth="1"/>
    <col min="17" max="17" width="13.5703125" bestFit="1" customWidth="1"/>
    <col min="18" max="18" width="11.7109375" bestFit="1" customWidth="1"/>
    <col min="19" max="19" width="11.5703125" bestFit="1" customWidth="1"/>
    <col min="20" max="20" width="31.140625" bestFit="1" customWidth="1"/>
    <col min="21" max="21" width="20.5703125" bestFit="1" customWidth="1"/>
    <col min="22" max="22" width="10.28515625" bestFit="1" customWidth="1"/>
    <col min="23" max="23" width="16.85546875" bestFit="1" customWidth="1"/>
    <col min="24" max="24" width="19.42578125" bestFit="1" customWidth="1"/>
    <col min="25" max="25" width="24.5703125" bestFit="1" customWidth="1"/>
    <col min="26" max="26" width="22.28515625" bestFit="1" customWidth="1"/>
    <col min="27" max="27" width="13.140625" bestFit="1" customWidth="1"/>
    <col min="28" max="28" width="24" bestFit="1" customWidth="1"/>
    <col min="29" max="29" width="24.7109375" bestFit="1" customWidth="1"/>
    <col min="30" max="30" width="16.85546875" bestFit="1" customWidth="1"/>
    <col min="31" max="31" width="7.42578125" bestFit="1" customWidth="1"/>
    <col min="32" max="32" width="14.28515625" bestFit="1" customWidth="1"/>
    <col min="33" max="33" width="20.85546875" bestFit="1" customWidth="1"/>
    <col min="34" max="34" width="19.28515625" bestFit="1" customWidth="1"/>
    <col min="35" max="35" width="8.85546875" bestFit="1" customWidth="1"/>
    <col min="36" max="36" width="14.7109375" bestFit="1" customWidth="1"/>
    <col min="37" max="37" width="19.85546875" bestFit="1" customWidth="1"/>
    <col min="38" max="38" width="11.28515625" bestFit="1" customWidth="1"/>
    <col min="39" max="39" width="12.7109375" bestFit="1" customWidth="1"/>
    <col min="40" max="40" width="11.140625" bestFit="1" customWidth="1"/>
    <col min="41" max="41" width="11.5703125" bestFit="1" customWidth="1"/>
    <col min="42" max="43" width="21.42578125" bestFit="1" customWidth="1"/>
    <col min="44" max="44" width="12.28515625" bestFit="1" customWidth="1"/>
    <col min="45" max="45" width="14.28515625" bestFit="1" customWidth="1"/>
    <col min="46" max="46" width="13.85546875" bestFit="1" customWidth="1"/>
    <col min="47" max="47" width="14" bestFit="1" customWidth="1"/>
    <col min="48" max="48" width="17.5703125" bestFit="1" customWidth="1"/>
    <col min="49" max="49" width="9.85546875" bestFit="1" customWidth="1"/>
    <col min="50" max="50" width="16.42578125" bestFit="1" customWidth="1"/>
    <col min="51" max="51" width="10.42578125" bestFit="1" customWidth="1"/>
    <col min="52" max="52" width="9.85546875" bestFit="1" customWidth="1"/>
    <col min="53" max="53" width="14.42578125" bestFit="1" customWidth="1"/>
    <col min="54" max="54" width="19.5703125" bestFit="1" customWidth="1"/>
    <col min="55" max="55" width="17.28515625" bestFit="1" customWidth="1"/>
    <col min="56" max="56" width="8.140625" bestFit="1" customWidth="1"/>
    <col min="57" max="57" width="18.7109375" bestFit="1" customWidth="1"/>
    <col min="58" max="58" width="19.7109375" bestFit="1" customWidth="1"/>
    <col min="59" max="59" width="11.42578125" bestFit="1" customWidth="1"/>
    <col min="60" max="60" width="23.85546875" bestFit="1" customWidth="1"/>
    <col min="61" max="61" width="13.85546875" bestFit="1" customWidth="1"/>
    <col min="62" max="62" width="14" bestFit="1" customWidth="1"/>
    <col min="63" max="63" width="11" bestFit="1" customWidth="1"/>
    <col min="64" max="64" width="11.42578125" bestFit="1" customWidth="1"/>
    <col min="65" max="65" width="8.85546875" bestFit="1" customWidth="1"/>
    <col min="66" max="66" width="9.85546875" bestFit="1" customWidth="1"/>
    <col min="67" max="67" width="18" bestFit="1" customWidth="1"/>
    <col min="68" max="68" width="10.42578125" bestFit="1" customWidth="1"/>
    <col min="69" max="69" width="22.5703125" bestFit="1" customWidth="1"/>
    <col min="70" max="70" width="24" bestFit="1" customWidth="1"/>
    <col min="71" max="71" width="17.7109375" bestFit="1" customWidth="1"/>
    <col min="72" max="72" width="10.5703125" bestFit="1" customWidth="1"/>
  </cols>
  <sheetData>
    <row r="1" spans="1:7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8" t="s">
        <v>15</v>
      </c>
      <c r="Q1" s="8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2" t="s">
        <v>39</v>
      </c>
      <c r="AO1" s="12" t="s">
        <v>40</v>
      </c>
      <c r="AP1" s="13" t="s">
        <v>41</v>
      </c>
      <c r="AQ1" s="13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5" t="s">
        <v>67</v>
      </c>
      <c r="BQ1" s="12" t="s">
        <v>68</v>
      </c>
      <c r="BR1" s="14" t="s">
        <v>69</v>
      </c>
      <c r="BS1" s="12" t="s">
        <v>120</v>
      </c>
      <c r="BT1" s="12" t="s">
        <v>70</v>
      </c>
    </row>
    <row r="2" spans="1:72" x14ac:dyDescent="0.25">
      <c r="A2" s="1" t="s">
        <v>121</v>
      </c>
      <c r="B2" s="1" t="s">
        <v>71</v>
      </c>
      <c r="C2" s="1" t="s">
        <v>72</v>
      </c>
      <c r="D2" s="1" t="s">
        <v>73</v>
      </c>
      <c r="E2" s="1" t="s">
        <v>74</v>
      </c>
      <c r="F2" s="2">
        <v>46143</v>
      </c>
      <c r="G2" s="1" t="s">
        <v>96</v>
      </c>
      <c r="H2" s="1" t="s">
        <v>97</v>
      </c>
      <c r="I2" s="1" t="s">
        <v>75</v>
      </c>
      <c r="J2" s="1" t="s">
        <v>98</v>
      </c>
      <c r="K2" s="5">
        <v>46027.145833333336</v>
      </c>
      <c r="L2" s="1" t="b">
        <v>1</v>
      </c>
      <c r="M2" s="1" t="s">
        <v>99</v>
      </c>
      <c r="N2" s="1" t="s">
        <v>100</v>
      </c>
      <c r="O2" s="1" t="s">
        <v>76</v>
      </c>
      <c r="P2" s="1" t="s">
        <v>77</v>
      </c>
      <c r="Q2" s="1" t="s">
        <v>78</v>
      </c>
      <c r="R2" s="1" t="s">
        <v>101</v>
      </c>
      <c r="S2" s="1" t="s">
        <v>95</v>
      </c>
      <c r="T2" s="1" t="s">
        <v>79</v>
      </c>
      <c r="U2" s="1" t="s">
        <v>80</v>
      </c>
      <c r="V2" s="1" t="s">
        <v>81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96</v>
      </c>
      <c r="AN2" s="1" t="s">
        <v>97</v>
      </c>
      <c r="AO2" s="1" t="s">
        <v>95</v>
      </c>
      <c r="AP2" s="1" t="s">
        <v>102</v>
      </c>
      <c r="AQ2" s="1" t="s">
        <v>103</v>
      </c>
      <c r="AR2" s="1" t="s">
        <v>98</v>
      </c>
      <c r="AS2" s="1" t="s">
        <v>82</v>
      </c>
      <c r="AT2" s="1" t="s">
        <v>83</v>
      </c>
      <c r="AU2" s="1" t="s">
        <v>104</v>
      </c>
      <c r="AV2" s="1" t="s">
        <v>84</v>
      </c>
      <c r="AW2" s="1" t="s">
        <v>85</v>
      </c>
      <c r="AX2" s="1" t="s">
        <v>86</v>
      </c>
      <c r="AY2" s="1" t="s">
        <v>87</v>
      </c>
      <c r="AZ2" s="3">
        <v>426.4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35</v>
      </c>
      <c r="BG2" s="3">
        <v>18</v>
      </c>
      <c r="BH2" s="3">
        <v>461.4</v>
      </c>
      <c r="BI2" s="3">
        <v>83.05</v>
      </c>
      <c r="BJ2" s="3">
        <v>544.45000000000005</v>
      </c>
      <c r="BK2" s="1"/>
      <c r="BL2" s="1">
        <v>0</v>
      </c>
      <c r="BM2" s="1">
        <v>0</v>
      </c>
      <c r="BN2" s="1"/>
      <c r="BO2" s="1" t="s">
        <v>88</v>
      </c>
      <c r="BP2" s="4" t="s">
        <v>89</v>
      </c>
      <c r="BQ2" s="1"/>
      <c r="BR2" s="1"/>
      <c r="BS2" s="1"/>
      <c r="BT2" s="1" t="s">
        <v>122</v>
      </c>
    </row>
    <row r="3" spans="1:72" x14ac:dyDescent="0.25">
      <c r="A3" s="1" t="s">
        <v>121</v>
      </c>
      <c r="B3" s="1" t="s">
        <v>71</v>
      </c>
      <c r="C3" s="1" t="s">
        <v>72</v>
      </c>
      <c r="D3" s="1" t="s">
        <v>73</v>
      </c>
      <c r="E3" s="1" t="s">
        <v>74</v>
      </c>
      <c r="F3" s="2">
        <v>46143</v>
      </c>
      <c r="G3" s="1" t="s">
        <v>96</v>
      </c>
      <c r="H3" s="1" t="s">
        <v>105</v>
      </c>
      <c r="I3" s="1" t="s">
        <v>75</v>
      </c>
      <c r="J3" s="1" t="s">
        <v>106</v>
      </c>
      <c r="K3" s="5">
        <v>46027.484722222223</v>
      </c>
      <c r="L3" s="1" t="b">
        <v>1</v>
      </c>
      <c r="M3" s="1" t="s">
        <v>107</v>
      </c>
      <c r="N3" s="1" t="s">
        <v>94</v>
      </c>
      <c r="O3" s="1" t="s">
        <v>76</v>
      </c>
      <c r="P3" s="1" t="s">
        <v>77</v>
      </c>
      <c r="Q3" s="1" t="s">
        <v>78</v>
      </c>
      <c r="R3" s="1" t="s">
        <v>101</v>
      </c>
      <c r="S3" s="1" t="s">
        <v>95</v>
      </c>
      <c r="T3" s="1" t="s">
        <v>79</v>
      </c>
      <c r="U3" s="1" t="s">
        <v>80</v>
      </c>
      <c r="V3" s="1" t="s">
        <v>81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 t="s">
        <v>96</v>
      </c>
      <c r="AN3" s="1" t="s">
        <v>105</v>
      </c>
      <c r="AO3" s="1"/>
      <c r="AP3" s="1" t="s">
        <v>108</v>
      </c>
      <c r="AQ3" s="1" t="s">
        <v>109</v>
      </c>
      <c r="AR3" s="1" t="s">
        <v>106</v>
      </c>
      <c r="AS3" s="1" t="s">
        <v>82</v>
      </c>
      <c r="AT3" s="1" t="s">
        <v>83</v>
      </c>
      <c r="AU3" s="1" t="s">
        <v>110</v>
      </c>
      <c r="AV3" s="1" t="s">
        <v>84</v>
      </c>
      <c r="AW3" s="1" t="s">
        <v>85</v>
      </c>
      <c r="AX3" s="1" t="s">
        <v>86</v>
      </c>
      <c r="AY3" s="1" t="s">
        <v>87</v>
      </c>
      <c r="AZ3" s="3">
        <v>409.7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35</v>
      </c>
      <c r="BG3" s="3">
        <v>18</v>
      </c>
      <c r="BH3" s="3">
        <v>444.7</v>
      </c>
      <c r="BI3" s="3">
        <v>80.05</v>
      </c>
      <c r="BJ3" s="3">
        <v>524.75</v>
      </c>
      <c r="BK3" s="1"/>
      <c r="BL3" s="1">
        <v>0</v>
      </c>
      <c r="BM3" s="1">
        <v>0</v>
      </c>
      <c r="BN3" s="1"/>
      <c r="BO3" s="1" t="s">
        <v>88</v>
      </c>
      <c r="BP3" s="4" t="s">
        <v>89</v>
      </c>
      <c r="BQ3" s="1"/>
      <c r="BR3" s="1"/>
      <c r="BS3" s="1"/>
      <c r="BT3" s="1" t="s">
        <v>122</v>
      </c>
    </row>
    <row r="4" spans="1:72" x14ac:dyDescent="0.25">
      <c r="A4" s="1" t="s">
        <v>121</v>
      </c>
      <c r="B4" s="1" t="s">
        <v>71</v>
      </c>
      <c r="C4" s="1" t="s">
        <v>72</v>
      </c>
      <c r="D4" s="1" t="s">
        <v>73</v>
      </c>
      <c r="E4" s="1" t="s">
        <v>74</v>
      </c>
      <c r="F4" s="2">
        <v>46143</v>
      </c>
      <c r="G4" s="1" t="s">
        <v>96</v>
      </c>
      <c r="H4" s="1" t="s">
        <v>111</v>
      </c>
      <c r="I4" s="1" t="s">
        <v>75</v>
      </c>
      <c r="J4" s="1" t="s">
        <v>98</v>
      </c>
      <c r="K4" s="5">
        <v>46027.614583333336</v>
      </c>
      <c r="L4" s="1" t="b">
        <v>1</v>
      </c>
      <c r="M4" s="1" t="s">
        <v>112</v>
      </c>
      <c r="N4" s="1" t="s">
        <v>100</v>
      </c>
      <c r="O4" s="1" t="s">
        <v>76</v>
      </c>
      <c r="P4" s="1" t="s">
        <v>77</v>
      </c>
      <c r="Q4" s="1" t="s">
        <v>78</v>
      </c>
      <c r="R4" s="1" t="s">
        <v>101</v>
      </c>
      <c r="S4" s="1" t="s">
        <v>95</v>
      </c>
      <c r="T4" s="1" t="s">
        <v>79</v>
      </c>
      <c r="U4" s="1" t="s">
        <v>80</v>
      </c>
      <c r="V4" s="1" t="s">
        <v>81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 t="s">
        <v>96</v>
      </c>
      <c r="AN4" s="1" t="s">
        <v>111</v>
      </c>
      <c r="AO4" s="1" t="s">
        <v>95</v>
      </c>
      <c r="AP4" s="1" t="s">
        <v>109</v>
      </c>
      <c r="AQ4" s="1" t="s">
        <v>113</v>
      </c>
      <c r="AR4" s="1" t="s">
        <v>98</v>
      </c>
      <c r="AS4" s="1" t="s">
        <v>82</v>
      </c>
      <c r="AT4" s="1" t="s">
        <v>83</v>
      </c>
      <c r="AU4" s="1" t="s">
        <v>104</v>
      </c>
      <c r="AV4" s="1" t="s">
        <v>84</v>
      </c>
      <c r="AW4" s="1" t="s">
        <v>85</v>
      </c>
      <c r="AX4" s="1" t="s">
        <v>86</v>
      </c>
      <c r="AY4" s="1" t="s">
        <v>87</v>
      </c>
      <c r="AZ4" s="3">
        <v>426.4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35</v>
      </c>
      <c r="BG4" s="3">
        <v>18</v>
      </c>
      <c r="BH4" s="3">
        <v>461.4</v>
      </c>
      <c r="BI4" s="3">
        <v>83.05</v>
      </c>
      <c r="BJ4" s="3">
        <v>544.45000000000005</v>
      </c>
      <c r="BK4" s="1"/>
      <c r="BL4" s="1">
        <v>0</v>
      </c>
      <c r="BM4" s="1">
        <v>0</v>
      </c>
      <c r="BN4" s="1"/>
      <c r="BO4" s="1" t="s">
        <v>88</v>
      </c>
      <c r="BP4" s="4" t="s">
        <v>89</v>
      </c>
      <c r="BQ4" s="1"/>
      <c r="BR4" s="1"/>
      <c r="BS4" s="1"/>
      <c r="BT4" s="1" t="s">
        <v>122</v>
      </c>
    </row>
    <row r="5" spans="1:72" x14ac:dyDescent="0.25">
      <c r="A5" s="1" t="s">
        <v>121</v>
      </c>
      <c r="B5" s="1" t="s">
        <v>71</v>
      </c>
      <c r="C5" s="1" t="s">
        <v>72</v>
      </c>
      <c r="D5" s="1" t="s">
        <v>73</v>
      </c>
      <c r="E5" s="1" t="s">
        <v>74</v>
      </c>
      <c r="F5" s="2">
        <v>46143</v>
      </c>
      <c r="G5" s="1" t="s">
        <v>96</v>
      </c>
      <c r="H5" s="1" t="s">
        <v>114</v>
      </c>
      <c r="I5" s="1" t="s">
        <v>75</v>
      </c>
      <c r="J5" s="1" t="s">
        <v>106</v>
      </c>
      <c r="K5" s="5">
        <v>46027.709027777775</v>
      </c>
      <c r="L5" s="1" t="b">
        <v>1</v>
      </c>
      <c r="M5" s="1" t="s">
        <v>115</v>
      </c>
      <c r="N5" s="1" t="s">
        <v>94</v>
      </c>
      <c r="O5" s="1" t="s">
        <v>76</v>
      </c>
      <c r="P5" s="1" t="s">
        <v>77</v>
      </c>
      <c r="Q5" s="1" t="s">
        <v>78</v>
      </c>
      <c r="R5" s="1" t="s">
        <v>116</v>
      </c>
      <c r="S5" s="1" t="s">
        <v>95</v>
      </c>
      <c r="T5" s="1" t="s">
        <v>79</v>
      </c>
      <c r="U5" s="1" t="s">
        <v>80</v>
      </c>
      <c r="V5" s="1" t="s">
        <v>81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 t="s">
        <v>96</v>
      </c>
      <c r="AN5" s="1" t="s">
        <v>114</v>
      </c>
      <c r="AO5" s="1"/>
      <c r="AP5" s="1" t="s">
        <v>117</v>
      </c>
      <c r="AQ5" s="1" t="s">
        <v>118</v>
      </c>
      <c r="AR5" s="1" t="s">
        <v>106</v>
      </c>
      <c r="AS5" s="1" t="s">
        <v>82</v>
      </c>
      <c r="AT5" s="1" t="s">
        <v>83</v>
      </c>
      <c r="AU5" s="1" t="s">
        <v>110</v>
      </c>
      <c r="AV5" s="1" t="s">
        <v>84</v>
      </c>
      <c r="AW5" s="1" t="s">
        <v>85</v>
      </c>
      <c r="AX5" s="1" t="s">
        <v>86</v>
      </c>
      <c r="AY5" s="1" t="s">
        <v>87</v>
      </c>
      <c r="AZ5" s="3">
        <v>409.7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35</v>
      </c>
      <c r="BG5" s="3">
        <v>18</v>
      </c>
      <c r="BH5" s="3">
        <v>444.7</v>
      </c>
      <c r="BI5" s="3">
        <v>80.05</v>
      </c>
      <c r="BJ5" s="3">
        <v>524.75</v>
      </c>
      <c r="BK5" s="1"/>
      <c r="BL5" s="1">
        <v>0</v>
      </c>
      <c r="BM5" s="1">
        <v>0</v>
      </c>
      <c r="BN5" s="1"/>
      <c r="BO5" s="1" t="s">
        <v>88</v>
      </c>
      <c r="BP5" s="4" t="s">
        <v>89</v>
      </c>
      <c r="BQ5" s="1"/>
      <c r="BR5" s="1"/>
      <c r="BS5" s="1"/>
      <c r="BT5" s="1" t="s">
        <v>122</v>
      </c>
    </row>
    <row r="6" spans="1:72" x14ac:dyDescent="0.25">
      <c r="A6" s="1" t="s">
        <v>121</v>
      </c>
      <c r="B6" s="1" t="s">
        <v>71</v>
      </c>
      <c r="C6" s="1" t="s">
        <v>72</v>
      </c>
      <c r="D6" s="1" t="s">
        <v>73</v>
      </c>
      <c r="E6" s="1" t="s">
        <v>74</v>
      </c>
      <c r="F6" s="2">
        <v>46143</v>
      </c>
      <c r="G6" s="1" t="s">
        <v>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 t="s">
        <v>96</v>
      </c>
      <c r="AN6" s="1"/>
      <c r="AO6" s="1"/>
      <c r="AP6" s="1" t="s">
        <v>102</v>
      </c>
      <c r="AQ6" s="1" t="s">
        <v>119</v>
      </c>
      <c r="AR6" s="1"/>
      <c r="AS6" s="1" t="s">
        <v>82</v>
      </c>
      <c r="AT6" s="1" t="s">
        <v>93</v>
      </c>
      <c r="AU6" s="1" t="s">
        <v>90</v>
      </c>
      <c r="AV6" s="1" t="s">
        <v>84</v>
      </c>
      <c r="AW6" s="1" t="s">
        <v>91</v>
      </c>
      <c r="AX6" s="1" t="s">
        <v>92</v>
      </c>
      <c r="AY6" s="1" t="s">
        <v>87</v>
      </c>
      <c r="AZ6" s="1">
        <v>1906.85</v>
      </c>
      <c r="BA6" s="1"/>
      <c r="BB6" s="1"/>
      <c r="BC6" s="1"/>
      <c r="BD6" s="1"/>
      <c r="BE6" s="1"/>
      <c r="BF6" s="1"/>
      <c r="BG6" s="1">
        <v>18</v>
      </c>
      <c r="BH6" s="1">
        <v>1906.85</v>
      </c>
      <c r="BI6" s="1">
        <v>343.23</v>
      </c>
      <c r="BJ6" s="1">
        <v>2250.08</v>
      </c>
      <c r="BK6" s="1"/>
      <c r="BL6" s="1"/>
      <c r="BM6" s="1"/>
      <c r="BN6" s="1"/>
      <c r="BO6" s="1" t="s">
        <v>88</v>
      </c>
      <c r="BP6" s="1" t="s">
        <v>89</v>
      </c>
      <c r="BQ6" s="1">
        <v>3734</v>
      </c>
      <c r="BR6" s="1">
        <v>3719.05</v>
      </c>
      <c r="BS6" s="1">
        <f>BQ6-BR6</f>
        <v>14.949999999999818</v>
      </c>
      <c r="BT6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F9A8-5A28-4FB4-9345-86DB70584D12}">
  <dimension ref="B3:AI32"/>
  <sheetViews>
    <sheetView tabSelected="1" zoomScale="85" zoomScaleNormal="85" workbookViewId="0">
      <selection activeCell="P11" sqref="P11"/>
    </sheetView>
  </sheetViews>
  <sheetFormatPr defaultRowHeight="15" x14ac:dyDescent="0.25"/>
  <cols>
    <col min="23" max="23" width="23.85546875" bestFit="1" customWidth="1"/>
    <col min="25" max="25" width="12.85546875" customWidth="1"/>
  </cols>
  <sheetData>
    <row r="3" spans="2:14" x14ac:dyDescent="0.25">
      <c r="B3" s="6" t="s">
        <v>0</v>
      </c>
      <c r="E3" s="6" t="s">
        <v>3</v>
      </c>
      <c r="G3" s="6" t="s">
        <v>4</v>
      </c>
      <c r="J3" s="6" t="s">
        <v>8</v>
      </c>
    </row>
    <row r="5" spans="2:14" x14ac:dyDescent="0.25">
      <c r="B5" s="6" t="s">
        <v>1</v>
      </c>
    </row>
    <row r="7" spans="2:14" x14ac:dyDescent="0.25">
      <c r="B7" s="6" t="s">
        <v>6</v>
      </c>
      <c r="D7" s="6" t="s">
        <v>2</v>
      </c>
      <c r="F7" s="7" t="s">
        <v>5</v>
      </c>
      <c r="I7" s="6" t="s">
        <v>14</v>
      </c>
    </row>
    <row r="10" spans="2:14" x14ac:dyDescent="0.25">
      <c r="B10" s="6" t="s">
        <v>17</v>
      </c>
      <c r="E10" s="6" t="s">
        <v>18</v>
      </c>
      <c r="G10" s="6" t="s">
        <v>30</v>
      </c>
      <c r="I10" s="6" t="s">
        <v>31</v>
      </c>
      <c r="K10" s="6" t="s">
        <v>32</v>
      </c>
      <c r="N10" s="6" t="s">
        <v>33</v>
      </c>
    </row>
    <row r="12" spans="2:14" x14ac:dyDescent="0.25">
      <c r="B12" s="9" t="s">
        <v>22</v>
      </c>
      <c r="G12" s="6" t="s">
        <v>27</v>
      </c>
    </row>
    <row r="13" spans="2:14" x14ac:dyDescent="0.25">
      <c r="K13" s="21" t="s">
        <v>66</v>
      </c>
    </row>
    <row r="14" spans="2:14" x14ac:dyDescent="0.25">
      <c r="B14" s="6" t="s">
        <v>23</v>
      </c>
      <c r="G14" s="6" t="s">
        <v>28</v>
      </c>
      <c r="K14" s="22" t="s">
        <v>67</v>
      </c>
    </row>
    <row r="15" spans="2:14" x14ac:dyDescent="0.25">
      <c r="K15" s="21" t="s">
        <v>68</v>
      </c>
    </row>
    <row r="16" spans="2:14" x14ac:dyDescent="0.25">
      <c r="B16" s="6" t="s">
        <v>24</v>
      </c>
      <c r="G16" s="6" t="s">
        <v>29</v>
      </c>
      <c r="K16" s="23" t="s">
        <v>69</v>
      </c>
    </row>
    <row r="17" spans="2:35" x14ac:dyDescent="0.25">
      <c r="K17" s="21" t="s">
        <v>120</v>
      </c>
    </row>
    <row r="18" spans="2:35" x14ac:dyDescent="0.25">
      <c r="B18" s="6" t="s">
        <v>25</v>
      </c>
    </row>
    <row r="19" spans="2:35" x14ac:dyDescent="0.25">
      <c r="G19" s="11" t="s">
        <v>37</v>
      </c>
      <c r="K19" s="21" t="s">
        <v>70</v>
      </c>
    </row>
    <row r="20" spans="2:35" x14ac:dyDescent="0.25">
      <c r="B20" s="6" t="s">
        <v>26</v>
      </c>
    </row>
    <row r="23" spans="2:35" x14ac:dyDescent="0.25">
      <c r="B23" s="6" t="s">
        <v>7</v>
      </c>
      <c r="C23" s="12" t="s">
        <v>39</v>
      </c>
      <c r="D23" s="12" t="s">
        <v>40</v>
      </c>
      <c r="E23" s="13" t="s">
        <v>41</v>
      </c>
      <c r="F23" s="13" t="s">
        <v>42</v>
      </c>
      <c r="G23" s="12" t="s">
        <v>43</v>
      </c>
      <c r="H23" s="12" t="s">
        <v>44</v>
      </c>
      <c r="I23" s="12" t="s">
        <v>45</v>
      </c>
      <c r="J23" s="12" t="s">
        <v>46</v>
      </c>
      <c r="K23" s="12" t="s">
        <v>47</v>
      </c>
      <c r="L23" s="12" t="s">
        <v>48</v>
      </c>
      <c r="M23" s="12" t="s">
        <v>49</v>
      </c>
      <c r="N23" s="12" t="s">
        <v>50</v>
      </c>
      <c r="O23" s="14" t="s">
        <v>51</v>
      </c>
      <c r="P23" s="14" t="s">
        <v>52</v>
      </c>
      <c r="Q23" s="14" t="s">
        <v>53</v>
      </c>
      <c r="R23" s="14" t="s">
        <v>54</v>
      </c>
      <c r="S23" s="14" t="s">
        <v>55</v>
      </c>
      <c r="T23" s="14" t="s">
        <v>56</v>
      </c>
      <c r="U23" s="14" t="s">
        <v>57</v>
      </c>
      <c r="V23" s="14" t="s">
        <v>58</v>
      </c>
      <c r="W23" s="14" t="s">
        <v>59</v>
      </c>
      <c r="X23" s="14" t="s">
        <v>60</v>
      </c>
      <c r="Y23" s="14" t="s">
        <v>61</v>
      </c>
      <c r="Z23" s="12" t="s">
        <v>62</v>
      </c>
      <c r="AA23" s="12" t="s">
        <v>63</v>
      </c>
      <c r="AB23" s="12" t="s">
        <v>64</v>
      </c>
      <c r="AC23" s="12" t="s">
        <v>65</v>
      </c>
    </row>
    <row r="24" spans="2:35" x14ac:dyDescent="0.25">
      <c r="B24" s="1" t="s">
        <v>97</v>
      </c>
      <c r="C24" s="1" t="s">
        <v>97</v>
      </c>
      <c r="D24" s="1" t="s">
        <v>95</v>
      </c>
      <c r="E24" s="1" t="s">
        <v>102</v>
      </c>
      <c r="F24" s="1" t="s">
        <v>103</v>
      </c>
      <c r="G24" s="1" t="s">
        <v>98</v>
      </c>
      <c r="H24" s="1" t="s">
        <v>82</v>
      </c>
      <c r="I24" s="1" t="s">
        <v>83</v>
      </c>
      <c r="J24" s="1" t="s">
        <v>104</v>
      </c>
      <c r="K24" s="1" t="s">
        <v>84</v>
      </c>
      <c r="L24" s="1" t="s">
        <v>85</v>
      </c>
      <c r="M24" s="1" t="s">
        <v>86</v>
      </c>
      <c r="N24" s="1" t="s">
        <v>87</v>
      </c>
      <c r="O24" s="3">
        <v>426.4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35</v>
      </c>
      <c r="V24" s="3">
        <v>18</v>
      </c>
      <c r="W24" s="3">
        <v>461.4</v>
      </c>
      <c r="X24" s="3">
        <v>83.05</v>
      </c>
      <c r="Y24" s="3">
        <v>544.45000000000005</v>
      </c>
      <c r="Z24" s="1"/>
      <c r="AA24" s="1">
        <v>0</v>
      </c>
      <c r="AB24" s="1">
        <v>0</v>
      </c>
      <c r="AC24" s="1"/>
      <c r="AD24" s="1" t="s">
        <v>88</v>
      </c>
      <c r="AE24" s="4" t="s">
        <v>89</v>
      </c>
      <c r="AF24" s="1"/>
      <c r="AG24" s="1"/>
      <c r="AH24" s="1"/>
      <c r="AI24" s="1" t="s">
        <v>122</v>
      </c>
    </row>
    <row r="25" spans="2:35" x14ac:dyDescent="0.25">
      <c r="B25" s="1" t="s">
        <v>105</v>
      </c>
      <c r="C25" s="1" t="s">
        <v>105</v>
      </c>
      <c r="D25" s="1"/>
      <c r="E25" s="1" t="s">
        <v>108</v>
      </c>
      <c r="F25" s="1" t="s">
        <v>109</v>
      </c>
      <c r="G25" s="1" t="s">
        <v>106</v>
      </c>
      <c r="H25" s="1" t="s">
        <v>82</v>
      </c>
      <c r="I25" s="1" t="s">
        <v>83</v>
      </c>
      <c r="J25" s="1" t="s">
        <v>110</v>
      </c>
      <c r="K25" s="1" t="s">
        <v>84</v>
      </c>
      <c r="L25" s="1" t="s">
        <v>85</v>
      </c>
      <c r="M25" s="1" t="s">
        <v>86</v>
      </c>
      <c r="N25" s="1" t="s">
        <v>87</v>
      </c>
      <c r="O25" s="3">
        <v>409.7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35</v>
      </c>
      <c r="V25" s="3">
        <v>18</v>
      </c>
      <c r="W25" s="3">
        <v>444.7</v>
      </c>
      <c r="X25" s="3">
        <v>80.05</v>
      </c>
      <c r="Y25" s="3">
        <v>524.75</v>
      </c>
      <c r="Z25" s="1"/>
      <c r="AA25" s="1">
        <v>0</v>
      </c>
      <c r="AB25" s="1">
        <v>0</v>
      </c>
      <c r="AC25" s="1"/>
      <c r="AD25" s="1" t="s">
        <v>88</v>
      </c>
      <c r="AE25" s="4" t="s">
        <v>89</v>
      </c>
      <c r="AF25" s="1"/>
      <c r="AG25" s="1"/>
      <c r="AH25" s="1"/>
      <c r="AI25" s="1" t="s">
        <v>122</v>
      </c>
    </row>
    <row r="26" spans="2:35" x14ac:dyDescent="0.25">
      <c r="B26" s="1" t="s">
        <v>111</v>
      </c>
      <c r="C26" s="1" t="s">
        <v>111</v>
      </c>
      <c r="D26" s="1" t="s">
        <v>95</v>
      </c>
      <c r="E26" s="1" t="s">
        <v>109</v>
      </c>
      <c r="F26" s="1" t="s">
        <v>113</v>
      </c>
      <c r="G26" s="1" t="s">
        <v>98</v>
      </c>
      <c r="H26" s="1" t="s">
        <v>82</v>
      </c>
      <c r="I26" s="1" t="s">
        <v>83</v>
      </c>
      <c r="J26" s="1" t="s">
        <v>104</v>
      </c>
      <c r="K26" s="1" t="s">
        <v>84</v>
      </c>
      <c r="L26" s="1" t="s">
        <v>85</v>
      </c>
      <c r="M26" s="1" t="s">
        <v>86</v>
      </c>
      <c r="N26" s="1" t="s">
        <v>87</v>
      </c>
      <c r="O26" s="3">
        <v>426.4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35</v>
      </c>
      <c r="V26" s="3">
        <v>18</v>
      </c>
      <c r="W26" s="3">
        <v>461.4</v>
      </c>
      <c r="X26" s="3">
        <v>83.05</v>
      </c>
      <c r="Y26" s="3">
        <v>544.45000000000005</v>
      </c>
      <c r="Z26" s="1"/>
      <c r="AA26" s="1">
        <v>0</v>
      </c>
      <c r="AB26" s="1">
        <v>0</v>
      </c>
      <c r="AC26" s="1"/>
      <c r="AD26" s="1" t="s">
        <v>88</v>
      </c>
      <c r="AE26" s="4" t="s">
        <v>89</v>
      </c>
      <c r="AF26" s="1"/>
      <c r="AG26" s="1"/>
      <c r="AH26" s="1"/>
      <c r="AI26" s="1" t="s">
        <v>122</v>
      </c>
    </row>
    <row r="27" spans="2:35" x14ac:dyDescent="0.25">
      <c r="B27" s="1" t="s">
        <v>114</v>
      </c>
      <c r="C27" s="1" t="s">
        <v>114</v>
      </c>
      <c r="D27" s="1"/>
      <c r="E27" s="1" t="s">
        <v>117</v>
      </c>
      <c r="F27" s="1" t="s">
        <v>118</v>
      </c>
      <c r="G27" s="1" t="s">
        <v>106</v>
      </c>
      <c r="H27" s="1" t="s">
        <v>82</v>
      </c>
      <c r="I27" s="1" t="s">
        <v>83</v>
      </c>
      <c r="J27" s="1" t="s">
        <v>110</v>
      </c>
      <c r="K27" s="1" t="s">
        <v>84</v>
      </c>
      <c r="L27" s="1" t="s">
        <v>85</v>
      </c>
      <c r="M27" s="1" t="s">
        <v>86</v>
      </c>
      <c r="N27" s="1" t="s">
        <v>87</v>
      </c>
      <c r="O27" s="3">
        <v>409.7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35</v>
      </c>
      <c r="V27" s="3">
        <v>18</v>
      </c>
      <c r="W27" s="3">
        <v>444.7</v>
      </c>
      <c r="X27" s="3">
        <v>80.05</v>
      </c>
      <c r="Y27" s="3">
        <v>524.75</v>
      </c>
      <c r="Z27" s="1"/>
      <c r="AA27" s="1">
        <v>0</v>
      </c>
      <c r="AB27" s="1">
        <v>0</v>
      </c>
      <c r="AC27" s="1"/>
      <c r="AD27" s="1" t="s">
        <v>88</v>
      </c>
      <c r="AE27" s="4" t="s">
        <v>89</v>
      </c>
      <c r="AF27" s="1"/>
      <c r="AG27" s="1"/>
      <c r="AH27" s="1"/>
      <c r="AI27" s="1" t="s">
        <v>122</v>
      </c>
    </row>
    <row r="28" spans="2:35" x14ac:dyDescent="0.25">
      <c r="C28" s="1"/>
      <c r="D28" s="1"/>
      <c r="E28" s="1" t="s">
        <v>102</v>
      </c>
      <c r="F28" s="1" t="s">
        <v>119</v>
      </c>
      <c r="G28" s="1"/>
      <c r="H28" s="1" t="s">
        <v>82</v>
      </c>
      <c r="I28" s="1" t="s">
        <v>93</v>
      </c>
      <c r="J28" s="1" t="s">
        <v>90</v>
      </c>
      <c r="K28" s="1" t="s">
        <v>84</v>
      </c>
      <c r="L28" s="1" t="s">
        <v>91</v>
      </c>
      <c r="M28" s="1" t="s">
        <v>92</v>
      </c>
      <c r="N28" s="1" t="s">
        <v>87</v>
      </c>
      <c r="O28" s="1">
        <v>1906.85</v>
      </c>
      <c r="P28" s="1"/>
      <c r="Q28" s="1"/>
      <c r="R28" s="1"/>
      <c r="S28" s="1"/>
      <c r="T28" s="1"/>
      <c r="U28" s="1"/>
      <c r="V28" s="1">
        <v>18</v>
      </c>
      <c r="W28" s="1">
        <v>1906.85</v>
      </c>
      <c r="X28" s="1">
        <v>343.23</v>
      </c>
      <c r="Y28" s="1">
        <v>2250.08</v>
      </c>
      <c r="Z28" s="1"/>
      <c r="AA28" s="1"/>
      <c r="AB28" s="1"/>
      <c r="AC28" s="1"/>
      <c r="AD28" s="1" t="s">
        <v>88</v>
      </c>
      <c r="AE28" s="1" t="s">
        <v>89</v>
      </c>
      <c r="AF28" s="1">
        <v>3734</v>
      </c>
      <c r="AG28" s="1">
        <v>3719.05</v>
      </c>
      <c r="AH28" s="1">
        <f>AF28-AG28</f>
        <v>14.949999999999818</v>
      </c>
      <c r="AI28" s="1" t="s">
        <v>122</v>
      </c>
    </row>
    <row r="30" spans="2:35" x14ac:dyDescent="0.25">
      <c r="W30" s="20">
        <f>SUM(W24:W29)</f>
        <v>3719.05</v>
      </c>
      <c r="X30" s="20">
        <f>SUM(X24:X29)</f>
        <v>669.43000000000006</v>
      </c>
      <c r="Y30" s="20">
        <f>SUM(Y24:Y29)</f>
        <v>4388.4799999999996</v>
      </c>
    </row>
    <row r="32" spans="2:35" x14ac:dyDescent="0.25">
      <c r="B32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4E53-3EA4-4323-B2E0-CF553E558AC0}">
  <dimension ref="A1:C28"/>
  <sheetViews>
    <sheetView workbookViewId="0">
      <selection activeCell="C6" sqref="C6"/>
    </sheetView>
  </sheetViews>
  <sheetFormatPr defaultRowHeight="15" x14ac:dyDescent="0.25"/>
  <cols>
    <col min="2" max="2" width="28.28515625" bestFit="1" customWidth="1"/>
    <col min="3" max="3" width="13.7109375" bestFit="1" customWidth="1"/>
  </cols>
  <sheetData>
    <row r="1" spans="1:3" x14ac:dyDescent="0.25">
      <c r="A1" s="1">
        <v>1</v>
      </c>
      <c r="B1" s="16" t="s">
        <v>0</v>
      </c>
    </row>
    <row r="2" spans="1:3" x14ac:dyDescent="0.25">
      <c r="A2" s="1">
        <v>2</v>
      </c>
      <c r="B2" s="16" t="s">
        <v>1</v>
      </c>
    </row>
    <row r="3" spans="1:3" x14ac:dyDescent="0.25">
      <c r="A3" s="1">
        <v>3</v>
      </c>
      <c r="B3" s="16" t="s">
        <v>2</v>
      </c>
    </row>
    <row r="4" spans="1:3" x14ac:dyDescent="0.25">
      <c r="A4" s="1">
        <v>4</v>
      </c>
      <c r="B4" s="16" t="s">
        <v>3</v>
      </c>
    </row>
    <row r="5" spans="1:3" x14ac:dyDescent="0.25">
      <c r="A5" s="1">
        <v>5</v>
      </c>
      <c r="B5" s="16" t="s">
        <v>4</v>
      </c>
    </row>
    <row r="6" spans="1:3" x14ac:dyDescent="0.25">
      <c r="A6" s="1">
        <v>6</v>
      </c>
      <c r="B6" s="17" t="s">
        <v>5</v>
      </c>
    </row>
    <row r="7" spans="1:3" x14ac:dyDescent="0.25">
      <c r="A7" s="1">
        <v>7</v>
      </c>
      <c r="B7" s="16" t="s">
        <v>6</v>
      </c>
    </row>
    <row r="8" spans="1:3" x14ac:dyDescent="0.25">
      <c r="A8" s="1">
        <v>8</v>
      </c>
      <c r="B8" s="16" t="s">
        <v>7</v>
      </c>
    </row>
    <row r="9" spans="1:3" x14ac:dyDescent="0.25">
      <c r="A9" s="1">
        <v>9</v>
      </c>
      <c r="B9" s="16" t="s">
        <v>8</v>
      </c>
    </row>
    <row r="10" spans="1:3" x14ac:dyDescent="0.25">
      <c r="A10" s="1">
        <v>10</v>
      </c>
      <c r="B10" s="16" t="s">
        <v>14</v>
      </c>
    </row>
    <row r="11" spans="1:3" x14ac:dyDescent="0.25">
      <c r="A11" s="1">
        <v>11</v>
      </c>
      <c r="B11" s="16" t="s">
        <v>17</v>
      </c>
    </row>
    <row r="12" spans="1:3" x14ac:dyDescent="0.25">
      <c r="A12" s="1">
        <v>12</v>
      </c>
      <c r="B12" s="16" t="s">
        <v>18</v>
      </c>
    </row>
    <row r="13" spans="1:3" x14ac:dyDescent="0.25">
      <c r="A13" s="1">
        <v>13</v>
      </c>
      <c r="B13" s="19" t="s">
        <v>123</v>
      </c>
      <c r="C13" t="s">
        <v>125</v>
      </c>
    </row>
    <row r="14" spans="1:3" x14ac:dyDescent="0.25">
      <c r="A14" s="1">
        <v>14</v>
      </c>
      <c r="B14" s="19" t="s">
        <v>124</v>
      </c>
      <c r="C14" t="s">
        <v>125</v>
      </c>
    </row>
    <row r="15" spans="1:3" x14ac:dyDescent="0.25">
      <c r="A15" s="1">
        <v>15</v>
      </c>
      <c r="B15" s="18" t="s">
        <v>22</v>
      </c>
    </row>
    <row r="16" spans="1:3" x14ac:dyDescent="0.25">
      <c r="A16" s="1">
        <v>16</v>
      </c>
      <c r="B16" s="16" t="s">
        <v>23</v>
      </c>
    </row>
    <row r="17" spans="1:2" x14ac:dyDescent="0.25">
      <c r="A17" s="1">
        <v>17</v>
      </c>
      <c r="B17" s="16" t="s">
        <v>24</v>
      </c>
    </row>
    <row r="18" spans="1:2" x14ac:dyDescent="0.25">
      <c r="A18" s="1">
        <v>18</v>
      </c>
      <c r="B18" s="16" t="s">
        <v>25</v>
      </c>
    </row>
    <row r="19" spans="1:2" x14ac:dyDescent="0.25">
      <c r="A19" s="1">
        <v>19</v>
      </c>
      <c r="B19" s="16" t="s">
        <v>26</v>
      </c>
    </row>
    <row r="20" spans="1:2" x14ac:dyDescent="0.25">
      <c r="A20" s="1">
        <v>20</v>
      </c>
      <c r="B20" s="16" t="s">
        <v>27</v>
      </c>
    </row>
    <row r="21" spans="1:2" x14ac:dyDescent="0.25">
      <c r="A21" s="1">
        <v>21</v>
      </c>
      <c r="B21" s="16" t="s">
        <v>28</v>
      </c>
    </row>
    <row r="22" spans="1:2" x14ac:dyDescent="0.25">
      <c r="A22" s="1">
        <v>22</v>
      </c>
      <c r="B22" s="16" t="s">
        <v>29</v>
      </c>
    </row>
    <row r="23" spans="1:2" x14ac:dyDescent="0.25">
      <c r="A23" s="1">
        <v>23</v>
      </c>
      <c r="B23" s="16" t="s">
        <v>30</v>
      </c>
    </row>
    <row r="24" spans="1:2" x14ac:dyDescent="0.25">
      <c r="A24" s="1">
        <v>24</v>
      </c>
      <c r="B24" s="16" t="s">
        <v>31</v>
      </c>
    </row>
    <row r="25" spans="1:2" x14ac:dyDescent="0.25">
      <c r="A25" s="1">
        <v>25</v>
      </c>
      <c r="B25" s="16" t="s">
        <v>32</v>
      </c>
    </row>
    <row r="26" spans="1:2" x14ac:dyDescent="0.25">
      <c r="A26" s="1">
        <v>26</v>
      </c>
      <c r="B26" s="16" t="s">
        <v>33</v>
      </c>
    </row>
    <row r="27" spans="1:2" x14ac:dyDescent="0.25">
      <c r="A27" s="1">
        <v>27</v>
      </c>
      <c r="B27" s="16" t="s">
        <v>34</v>
      </c>
    </row>
    <row r="28" spans="1:2" x14ac:dyDescent="0.25">
      <c r="A28" s="1">
        <v>28</v>
      </c>
      <c r="B28" s="1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9478-C11E-4204-99A0-45AB59E2D684}">
  <dimension ref="A1:A12"/>
  <sheetViews>
    <sheetView workbookViewId="0">
      <selection activeCell="B3" sqref="B3"/>
    </sheetView>
  </sheetViews>
  <sheetFormatPr defaultRowHeight="15" x14ac:dyDescent="0.25"/>
  <cols>
    <col min="1" max="1" width="30" bestFit="1" customWidth="1"/>
  </cols>
  <sheetData>
    <row r="1" spans="1:1" x14ac:dyDescent="0.25">
      <c r="A1" s="16" t="s">
        <v>9</v>
      </c>
    </row>
    <row r="2" spans="1:1" x14ac:dyDescent="0.25">
      <c r="A2" s="16" t="s">
        <v>10</v>
      </c>
    </row>
    <row r="3" spans="1:1" x14ac:dyDescent="0.25">
      <c r="A3" s="16" t="s">
        <v>11</v>
      </c>
    </row>
    <row r="4" spans="1:1" x14ac:dyDescent="0.25">
      <c r="A4" s="16" t="s">
        <v>12</v>
      </c>
    </row>
    <row r="5" spans="1:1" x14ac:dyDescent="0.25">
      <c r="A5" s="16" t="s">
        <v>13</v>
      </c>
    </row>
    <row r="6" spans="1:1" x14ac:dyDescent="0.25">
      <c r="A6" s="16" t="s">
        <v>15</v>
      </c>
    </row>
    <row r="7" spans="1:1" x14ac:dyDescent="0.25">
      <c r="A7" s="16" t="s">
        <v>16</v>
      </c>
    </row>
    <row r="8" spans="1:1" x14ac:dyDescent="0.25">
      <c r="A8" s="16" t="s">
        <v>19</v>
      </c>
    </row>
    <row r="9" spans="1:1" x14ac:dyDescent="0.25">
      <c r="A9" s="16" t="s">
        <v>20</v>
      </c>
    </row>
    <row r="10" spans="1:1" x14ac:dyDescent="0.25">
      <c r="A10" s="16" t="s">
        <v>21</v>
      </c>
    </row>
    <row r="11" spans="1:1" x14ac:dyDescent="0.25">
      <c r="A11" s="16" t="s">
        <v>35</v>
      </c>
    </row>
    <row r="12" spans="1:1" x14ac:dyDescent="0.25">
      <c r="A12" s="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Screen</vt:lpstr>
      <vt:lpstr>Columns to be Used</vt:lpstr>
      <vt:lpstr>Columns to be Frozen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SOMTIA</dc:creator>
  <cp:lastModifiedBy>Krupa Rana</cp:lastModifiedBy>
  <dcterms:created xsi:type="dcterms:W3CDTF">2026-06-22T05:01:53Z</dcterms:created>
  <dcterms:modified xsi:type="dcterms:W3CDTF">2026-06-23T12:01:36Z</dcterms:modified>
</cp:coreProperties>
</file>